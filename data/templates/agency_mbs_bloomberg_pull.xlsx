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eld_Check" sheetId="3" state="visible" r:id="rId3"/>
    <sheet xmlns:r="http://schemas.openxmlformats.org/officeDocument/2006/relationships" name="Static_Reference" sheetId="4" state="visible" r:id="rId4"/>
    <sheet xmlns:r="http://schemas.openxmlformats.org/officeDocument/2006/relationships" name="Price_History" sheetId="5" state="visible" r:id="rId5"/>
    <sheet xmlns:r="http://schemas.openxmlformats.org/officeDocument/2006/relationships" name="Factor_History" sheetId="6" state="visible" r:id="rId6"/>
    <sheet xmlns:r="http://schemas.openxmlformats.org/officeDocument/2006/relationships" name="Data_Quality" sheetId="7" state="visible" r:id="rId7"/>
    <sheet xmlns:r="http://schemas.openxmlformats.org/officeDocument/2006/relationships" name="Export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0000000"/>
    <numFmt numFmtId="167" formatCode="yyyy-mm-dd h:mm:ss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</font>
    <font>
      <name val="Arial"/>
      <b val="1"/>
      <color rgb="00FF0000"/>
    </font>
    <font>
      <name val="Arial"/>
      <family val="2"/>
      <color theme="1"/>
      <sz val="11"/>
      <scheme val="minor"/>
    </font>
    <font>
      <name val="Arial"/>
      <color rgb="000000FF"/>
    </font>
    <font>
      <name val="Arial"/>
      <color rgb="00FF0000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applyAlignment="1" pivotButton="0" quotePrefix="0" xfId="0">
      <alignment wrapText="1"/>
    </xf>
    <xf numFmtId="0" fontId="6" fillId="4" borderId="0" pivotButton="0" quotePrefix="0" xfId="0"/>
    <xf numFmtId="164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4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/>
    </xf>
    <xf numFmtId="165" fontId="5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MBS Analytics</author>
  </authors>
  <commentList>
    <comment ref="C4" authorId="0" shapeId="0">
      <text>
        <t>CUSIP</t>
      </text>
    </comment>
    <comment ref="D4" authorId="0" shapeId="0">
      <text>
        <t>Security name</t>
      </text>
    </comment>
    <comment ref="E4" authorId="0" shapeId="0">
      <text>
        <t>Pass-through coupon</t>
      </text>
    </comment>
    <comment ref="F4" authorId="0" shapeId="0">
      <text>
        <t>Issue date</t>
      </text>
    </comment>
    <comment ref="G4" authorId="0" shapeId="0">
      <text>
        <t>Final maturity</t>
      </text>
    </comment>
    <comment ref="H4" authorId="0" shapeId="0">
      <text>
        <t>Current pool factor</t>
      </text>
    </comment>
    <comment ref="I4" authorId="0" shapeId="0">
      <text>
        <t>Current factor date</t>
      </text>
    </comment>
    <comment ref="J4" authorId="0" shapeId="0">
      <text>
        <t>Weighted-average note rate</t>
      </text>
    </comment>
    <comment ref="K4" authorId="0" shapeId="0">
      <text>
        <t>Weighted-average remaining maturity</t>
      </text>
    </comment>
    <comment ref="L4" authorId="0" shapeId="0">
      <text>
        <t>Current amount outstanding</t>
      </text>
    </comment>
  </commentList>
</comments>
</file>

<file path=xl/comments/comment2.xml><?xml version="1.0" encoding="utf-8"?>
<comments xmlns="http://schemas.openxmlformats.org/spreadsheetml/2006/main">
  <authors>
    <author>MBS Analytics</author>
  </authors>
  <commentList>
    <comment ref="D5" authorId="0" shapeId="0">
      <text>
        <t>configured CUSIP</t>
      </text>
    </comment>
    <comment ref="D6" authorId="0" shapeId="0">
      <text>
        <t>configured coupon</t>
      </text>
    </comment>
    <comment ref="D7" authorId="0" shapeId="0">
      <text>
        <t>public discovery factor</t>
      </text>
    </comment>
    <comment ref="D8" authorId="0" shapeId="0">
      <text>
        <t>latest disclosure month</t>
      </text>
    </comment>
    <comment ref="D9" authorId="0" shapeId="0">
      <text>
        <t>configured CUSIP</t>
      </text>
    </comment>
    <comment ref="D10" authorId="0" shapeId="0">
      <text>
        <t>configured coupon</t>
      </text>
    </comment>
    <comment ref="D11" authorId="0" shapeId="0">
      <text>
        <t>public discovery factor</t>
      </text>
    </comment>
    <comment ref="D12" authorId="0" shapeId="0">
      <text>
        <t>latest disclosure month</t>
      </text>
    </comment>
    <comment ref="D13" authorId="0" shapeId="0">
      <text>
        <t>configured CUSIP</t>
      </text>
    </comment>
    <comment ref="D14" authorId="0" shapeId="0">
      <text>
        <t>configured coupon</t>
      </text>
    </comment>
    <comment ref="D15" authorId="0" shapeId="0">
      <text>
        <t>public discovery factor</t>
      </text>
    </comment>
    <comment ref="D16" authorId="0" shapeId="0">
      <text>
        <t>latest disclosure month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90" customWidth="1" min="3" max="3"/>
  </cols>
  <sheetData>
    <row r="1" ht="24" customHeight="1">
      <c r="A1" s="1" t="inlineStr">
        <is>
          <t>Agency MBS Bloomberg Data Pull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Run this workbook only in desktop Excel with a logged-in Bloomberg add-in.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Step</t>
        </is>
      </c>
      <c r="B4" s="4" t="inlineStr">
        <is>
          <t>Action</t>
        </is>
      </c>
      <c r="C4" s="4" t="inlineStr">
        <is>
          <t>Details</t>
        </is>
      </c>
      <c r="D4" s="4" t="n"/>
      <c r="E4" s="4" t="n"/>
      <c r="F4" s="4" t="n"/>
      <c r="G4" s="4" t="n"/>
      <c r="H4" s="4" t="n"/>
    </row>
    <row r="5">
      <c r="A5" s="2" t="inlineStr">
        <is>
          <t>1</t>
        </is>
      </c>
      <c r="B5" s="2" t="inlineStr">
        <is>
          <t>Open Inputs</t>
        </is>
      </c>
      <c r="C5" s="2" t="inlineStr">
        <is>
          <t>Confirm the three locked CUSIPs and choose the history dates.</t>
        </is>
      </c>
      <c r="D5" s="2" t="n"/>
      <c r="E5" s="2" t="n"/>
      <c r="F5" s="2" t="n"/>
      <c r="G5" s="2" t="n"/>
      <c r="H5" s="2" t="n"/>
    </row>
    <row r="6">
      <c r="A6" s="2" t="inlineStr">
        <is>
          <t>2</t>
        </is>
      </c>
      <c r="B6" s="2" t="inlineStr">
        <is>
          <t>Validate the pilot</t>
        </is>
      </c>
      <c r="C6" s="2" t="inlineStr">
        <is>
          <t>On Bloomberg, run FLDS &lt;GO&gt; for 3140QVLM4 Mtge and verify every required mnemonic on Field_Check.</t>
        </is>
      </c>
      <c r="D6" s="2" t="n"/>
      <c r="E6" s="2" t="n"/>
      <c r="F6" s="2" t="n"/>
      <c r="G6" s="2" t="n"/>
      <c r="H6" s="2" t="n"/>
    </row>
    <row r="7">
      <c r="A7" s="2" t="inlineStr">
        <is>
          <t>3</t>
        </is>
      </c>
      <c r="B7" s="2" t="inlineStr">
        <is>
          <t>Refresh Bloomberg</t>
        </is>
      </c>
      <c r="C7" s="2" t="inlineStr">
        <is>
          <t>Bloomberg ribbon → Refresh Workbook. Wait until no cells show Requesting Data.</t>
        </is>
      </c>
      <c r="D7" s="2" t="n"/>
      <c r="E7" s="2" t="n"/>
      <c r="F7" s="2" t="n"/>
      <c r="G7" s="2" t="n"/>
      <c r="H7" s="2" t="n"/>
    </row>
    <row r="8">
      <c r="A8" s="2" t="inlineStr">
        <is>
          <t>4</t>
        </is>
      </c>
      <c r="B8" s="2" t="inlineStr">
        <is>
          <t>Cross-check</t>
        </is>
      </c>
      <c r="C8" s="2" t="inlineStr">
        <is>
          <t>Compare coupon/factor/date to DES and BVAL. Compare factor history to MTG &lt;GO&gt;.</t>
        </is>
      </c>
      <c r="D8" s="2" t="n"/>
      <c r="E8" s="2" t="n"/>
      <c r="F8" s="2" t="n"/>
      <c r="G8" s="2" t="n"/>
      <c r="H8" s="2" t="n"/>
    </row>
    <row r="9">
      <c r="A9" s="2" t="inlineStr">
        <is>
          <t>5</t>
        </is>
      </c>
      <c r="B9" s="2" t="inlineStr">
        <is>
          <t>Review quality</t>
        </is>
      </c>
      <c r="C9" s="2" t="inlineStr">
        <is>
          <t>Data_Quality must show PASS for CUSIP, coupon, factor, and factor date.</t>
        </is>
      </c>
      <c r="D9" s="2" t="n"/>
      <c r="E9" s="2" t="n"/>
      <c r="F9" s="2" t="n"/>
      <c r="G9" s="2" t="n"/>
      <c r="H9" s="2" t="n"/>
    </row>
    <row r="10">
      <c r="A10" s="2" t="inlineStr">
        <is>
          <t>6</t>
        </is>
      </c>
      <c r="B10" s="2" t="inlineStr">
        <is>
          <t>Save calculated copy</t>
        </is>
      </c>
      <c r="C10" s="2" t="inlineStr">
        <is>
          <t>Save under data/market/raw/bloomberg/. Do not commit licensed Bloomberg values.</t>
        </is>
      </c>
      <c r="D10" s="2" t="n"/>
      <c r="E10" s="2" t="n"/>
      <c r="F10" s="2" t="n"/>
      <c r="G10" s="2" t="n"/>
      <c r="H10" s="2" t="n"/>
    </row>
    <row r="11">
      <c r="A11" s="2" t="inlineStr">
        <is>
          <t>7</t>
        </is>
      </c>
      <c r="B11" s="2" t="inlineStr">
        <is>
          <t>Import</t>
        </is>
      </c>
      <c r="C11" s="2" t="inlineStr">
        <is>
          <t>Run: python src/market_data.py data/market/raw/bloomberg/&lt;calculated&gt;.xlsx</t>
        </is>
      </c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48" customHeight="1">
      <c r="A13" s="5" t="inlineStr">
        <is>
          <t>Important</t>
        </is>
      </c>
      <c r="B13" s="6" t="inlineStr">
        <is>
          <t>BVAL is an evaluated price, not an executed trade. PX_LAST is diagnostic only. Frequency must be D, W, or M. Bloomberg rejects the word DAILY. BVAL_MID_PRICE is Field Not Applicable on these CL pools; use bid/ask. Weighted-average loan age is not a Bloomberg field on these pools; use the issuer file. Open this new template and refresh it. Do not reuse a previously calculated copy.</t>
        </is>
      </c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</sheetData>
  <mergeCells count="3">
    <mergeCell ref="B13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24" customWidth="1" min="5" max="5"/>
    <col width="14" customWidth="1" min="6" max="6"/>
    <col width="14" customWidth="1" min="7" max="7"/>
    <col width="13" customWidth="1" min="8" max="8"/>
  </cols>
  <sheetData>
    <row r="1" ht="24" customHeight="1">
      <c r="A1" s="1" t="inlineStr">
        <is>
          <t>Inputs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Blue/yellow cells are editable. Frequency must be the BDH code D, W, or M.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Role</t>
        </is>
      </c>
      <c r="B4" s="4" t="inlineStr">
        <is>
          <t>Agency</t>
        </is>
      </c>
      <c r="C4" s="4" t="inlineStr">
        <is>
          <t>Pool Number</t>
        </is>
      </c>
      <c r="D4" s="4" t="inlineStr">
        <is>
          <t>CUSIP</t>
        </is>
      </c>
      <c r="E4" s="4" t="inlineStr">
        <is>
          <t>Bloomberg Security</t>
        </is>
      </c>
      <c r="F4" s="4" t="inlineStr">
        <is>
          <t>Start Date</t>
        </is>
      </c>
      <c r="G4" s="4" t="inlineStr">
        <is>
          <t>End Date</t>
        </is>
      </c>
      <c r="H4" s="4" t="inlineStr">
        <is>
          <t>Frequency</t>
        </is>
      </c>
    </row>
    <row r="5">
      <c r="A5" s="7" t="inlineStr">
        <is>
          <t>primary</t>
        </is>
      </c>
      <c r="B5" s="7" t="inlineStr">
        <is>
          <t>FNMA</t>
        </is>
      </c>
      <c r="C5" s="7" t="inlineStr">
        <is>
          <t>CB9331</t>
        </is>
      </c>
      <c r="D5" s="7" t="inlineStr">
        <is>
          <t>3140QVLM4</t>
        </is>
      </c>
      <c r="E5" s="7" t="inlineStr">
        <is>
          <t>3140QVLM4 Mtge</t>
        </is>
      </c>
      <c r="F5" s="8" t="inlineStr">
        <is>
          <t>2024-09-01</t>
        </is>
      </c>
      <c r="G5" s="8">
        <f>TODAY()</f>
        <v/>
      </c>
      <c r="H5" s="7" t="inlineStr">
        <is>
          <t>D</t>
        </is>
      </c>
    </row>
    <row r="6">
      <c r="A6" s="7" t="inlineStr">
        <is>
          <t>holdout</t>
        </is>
      </c>
      <c r="B6" s="7" t="inlineStr">
        <is>
          <t>FNMA</t>
        </is>
      </c>
      <c r="C6" s="7" t="inlineStr">
        <is>
          <t>CB9654</t>
        </is>
      </c>
      <c r="D6" s="7" t="inlineStr">
        <is>
          <t>3140QVWQ3</t>
        </is>
      </c>
      <c r="E6" s="7" t="inlineStr">
        <is>
          <t>3140QVWQ3 Mtge</t>
        </is>
      </c>
      <c r="F6" s="8" t="inlineStr">
        <is>
          <t>2024-11-01</t>
        </is>
      </c>
      <c r="G6" s="8">
        <f>TODAY()</f>
        <v/>
      </c>
      <c r="H6" s="7" t="inlineStr">
        <is>
          <t>D</t>
        </is>
      </c>
    </row>
    <row r="7">
      <c r="A7" s="7" t="inlineStr">
        <is>
          <t>holdout</t>
        </is>
      </c>
      <c r="B7" s="7" t="inlineStr">
        <is>
          <t>FNMA</t>
        </is>
      </c>
      <c r="C7" s="7" t="inlineStr">
        <is>
          <t>DB7684</t>
        </is>
      </c>
      <c r="D7" s="7" t="inlineStr">
        <is>
          <t>3140AHRE4</t>
        </is>
      </c>
      <c r="E7" s="7" t="inlineStr">
        <is>
          <t>3140AHRE4 Mtge</t>
        </is>
      </c>
      <c r="F7" s="8" t="inlineStr">
        <is>
          <t>2024-07-01</t>
        </is>
      </c>
      <c r="G7" s="8">
        <f>TODAY()</f>
        <v/>
      </c>
      <c r="H7" s="7" t="inlineStr">
        <is>
          <t>D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5" t="inlineStr">
        <is>
          <t>Do not change CUSIPs after validation starts.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Frequency codes: D = daily, W = weekly, M = monthly. Do not enter DAILY.</t>
        </is>
      </c>
      <c r="B11" s="2" t="n"/>
      <c r="C11" s="2" t="n"/>
      <c r="D11" s="2" t="n"/>
      <c r="E11" s="2" t="n"/>
      <c r="F11" s="2" t="n"/>
      <c r="G11" s="2" t="n"/>
      <c r="H11" s="2" t="n"/>
    </row>
  </sheetData>
  <mergeCells count="4">
    <mergeCell ref="A11:H11"/>
    <mergeCell ref="A2:H2"/>
    <mergeCell ref="A10:H10"/>
    <mergeCell ref="A1:H1"/>
  </mergeCells>
  <dataValidations count="1">
    <dataValidation sqref="H5:H7" showDropDown="0" showInputMessage="0" showErrorMessage="0" allowBlank="0" type="list">
      <formula1>"D,W,M"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11" customWidth="1" min="4" max="4"/>
    <col width="72" customWidth="1" min="5" max="5"/>
    <col width="13" customWidth="1" min="6" max="6"/>
    <col width="20" customWidth="1" min="7" max="7"/>
  </cols>
  <sheetData>
    <row r="1" ht="24" customHeight="1">
      <c r="A1" s="1" t="inlineStr">
        <is>
          <t>Pilot field validation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Required fields must return a value for the primary CUSIP. Confirm each mnemonic with FLDS &lt;GO&gt;.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Category</t>
        </is>
      </c>
      <c r="B4" s="4" t="inlineStr">
        <is>
          <t>Mnemonic</t>
        </is>
      </c>
      <c r="C4" s="4" t="inlineStr">
        <is>
          <t>Label</t>
        </is>
      </c>
      <c r="D4" s="4" t="inlineStr">
        <is>
          <t>Required</t>
        </is>
      </c>
      <c r="E4" s="4" t="inlineStr">
        <is>
          <t>Pilot Formula</t>
        </is>
      </c>
      <c r="F4" s="4" t="inlineStr">
        <is>
          <t>Status</t>
        </is>
      </c>
      <c r="G4" s="4" t="inlineStr">
        <is>
          <t>Terminal Check</t>
        </is>
      </c>
      <c r="H4" s="4" t="n"/>
    </row>
    <row r="5">
      <c r="A5" s="2" t="inlineStr">
        <is>
          <t>static_fields</t>
        </is>
      </c>
      <c r="B5" s="2" t="inlineStr">
        <is>
          <t>ID_CUSIP</t>
        </is>
      </c>
      <c r="C5" s="2" t="inlineStr">
        <is>
          <t>CUSIP</t>
        </is>
      </c>
      <c r="D5" s="2" t="inlineStr">
        <is>
          <t>YES</t>
        </is>
      </c>
      <c r="E5" s="9">
        <f>BDP(Inputs!$E$5,"ID_CUSIP")</f>
        <v/>
      </c>
      <c r="F5" s="10">
        <f>IF(OR(ISERROR(E5),ISNUMBER(SEARCH("Field Not Applicable",E5&amp;"")),ISNUMBER(SEARCH("Invalid Field",E5&amp;""))),"ERROR",IF(E5="","MISSING","RETURNED"))</f>
        <v/>
      </c>
      <c r="G5" s="11" t="inlineStr">
        <is>
          <t>Confirm in FLDS</t>
        </is>
      </c>
      <c r="H5" s="2" t="n"/>
    </row>
    <row r="6">
      <c r="A6" s="2" t="inlineStr">
        <is>
          <t>static_fields</t>
        </is>
      </c>
      <c r="B6" s="2" t="inlineStr">
        <is>
          <t>NAME</t>
        </is>
      </c>
      <c r="C6" s="2" t="inlineStr">
        <is>
          <t>Security name</t>
        </is>
      </c>
      <c r="D6" s="2" t="inlineStr">
        <is>
          <t>YES</t>
        </is>
      </c>
      <c r="E6" s="9">
        <f>BDP(Inputs!$E$5,"NAME")</f>
        <v/>
      </c>
      <c r="F6" s="10">
        <f>IF(OR(ISERROR(E6),ISNUMBER(SEARCH("Field Not Applicable",E6&amp;"")),ISNUMBER(SEARCH("Invalid Field",E6&amp;""))),"ERROR",IF(E6="","MISSING","RETURNED"))</f>
        <v/>
      </c>
      <c r="G6" s="11" t="inlineStr">
        <is>
          <t>Confirm in FLDS</t>
        </is>
      </c>
      <c r="H6" s="2" t="n"/>
    </row>
    <row r="7">
      <c r="A7" s="2" t="inlineStr">
        <is>
          <t>static_fields</t>
        </is>
      </c>
      <c r="B7" s="2" t="inlineStr">
        <is>
          <t>CPN</t>
        </is>
      </c>
      <c r="C7" s="2" t="inlineStr">
        <is>
          <t>Pass-through coupon</t>
        </is>
      </c>
      <c r="D7" s="2" t="inlineStr">
        <is>
          <t>YES</t>
        </is>
      </c>
      <c r="E7" s="9">
        <f>BDP(Inputs!$E$5,"CPN")</f>
        <v/>
      </c>
      <c r="F7" s="10">
        <f>IF(OR(ISERROR(E7),ISNUMBER(SEARCH("Field Not Applicable",E7&amp;"")),ISNUMBER(SEARCH("Invalid Field",E7&amp;""))),"ERROR",IF(E7="","MISSING","RETURNED"))</f>
        <v/>
      </c>
      <c r="G7" s="11" t="inlineStr">
        <is>
          <t>Confirm in FLDS</t>
        </is>
      </c>
      <c r="H7" s="2" t="n"/>
    </row>
    <row r="8">
      <c r="A8" s="2" t="inlineStr">
        <is>
          <t>static_fields</t>
        </is>
      </c>
      <c r="B8" s="2" t="inlineStr">
        <is>
          <t>ISSUE_DT</t>
        </is>
      </c>
      <c r="C8" s="2" t="inlineStr">
        <is>
          <t>Issue date</t>
        </is>
      </c>
      <c r="D8" s="2" t="inlineStr">
        <is>
          <t>YES</t>
        </is>
      </c>
      <c r="E8" s="9">
        <f>BDP(Inputs!$E$5,"ISSUE_DT")</f>
        <v/>
      </c>
      <c r="F8" s="10">
        <f>IF(OR(ISERROR(E8),ISNUMBER(SEARCH("Field Not Applicable",E8&amp;"")),ISNUMBER(SEARCH("Invalid Field",E8&amp;""))),"ERROR",IF(E8="","MISSING","RETURNED"))</f>
        <v/>
      </c>
      <c r="G8" s="11" t="inlineStr">
        <is>
          <t>Confirm in FLDS</t>
        </is>
      </c>
      <c r="H8" s="2" t="n"/>
    </row>
    <row r="9">
      <c r="A9" s="2" t="inlineStr">
        <is>
          <t>static_fields</t>
        </is>
      </c>
      <c r="B9" s="2" t="inlineStr">
        <is>
          <t>MATURITY</t>
        </is>
      </c>
      <c r="C9" s="2" t="inlineStr">
        <is>
          <t>Final maturity</t>
        </is>
      </c>
      <c r="D9" s="2" t="inlineStr">
        <is>
          <t>YES</t>
        </is>
      </c>
      <c r="E9" s="9">
        <f>BDP(Inputs!$E$5,"MATURITY")</f>
        <v/>
      </c>
      <c r="F9" s="10">
        <f>IF(OR(ISERROR(E9),ISNUMBER(SEARCH("Field Not Applicable",E9&amp;"")),ISNUMBER(SEARCH("Invalid Field",E9&amp;""))),"ERROR",IF(E9="","MISSING","RETURNED"))</f>
        <v/>
      </c>
      <c r="G9" s="11" t="inlineStr">
        <is>
          <t>Confirm in FLDS</t>
        </is>
      </c>
      <c r="H9" s="2" t="n"/>
    </row>
    <row r="10">
      <c r="A10" s="2" t="inlineStr">
        <is>
          <t>static_fields</t>
        </is>
      </c>
      <c r="B10" s="2" t="inlineStr">
        <is>
          <t>MTG_FACTOR</t>
        </is>
      </c>
      <c r="C10" s="2" t="inlineStr">
        <is>
          <t>Current pool factor</t>
        </is>
      </c>
      <c r="D10" s="2" t="inlineStr">
        <is>
          <t>YES</t>
        </is>
      </c>
      <c r="E10" s="9">
        <f>BDP(Inputs!$E$5,"MTG_FACTOR")</f>
        <v/>
      </c>
      <c r="F10" s="10">
        <f>IF(OR(ISERROR(E10),ISNUMBER(SEARCH("Field Not Applicable",E10&amp;"")),ISNUMBER(SEARCH("Invalid Field",E10&amp;""))),"ERROR",IF(E10="","MISSING","RETURNED"))</f>
        <v/>
      </c>
      <c r="G10" s="11" t="inlineStr">
        <is>
          <t>Confirm in FLDS</t>
        </is>
      </c>
      <c r="H10" s="2" t="n"/>
    </row>
    <row r="11">
      <c r="A11" s="2" t="inlineStr">
        <is>
          <t>static_fields</t>
        </is>
      </c>
      <c r="B11" s="2" t="inlineStr">
        <is>
          <t>MTG_FACTOR_DT</t>
        </is>
      </c>
      <c r="C11" s="2" t="inlineStr">
        <is>
          <t>Current factor date</t>
        </is>
      </c>
      <c r="D11" s="2" t="inlineStr">
        <is>
          <t>YES</t>
        </is>
      </c>
      <c r="E11" s="9">
        <f>BDP(Inputs!$E$5,"MTG_FACTOR_DT")</f>
        <v/>
      </c>
      <c r="F11" s="10">
        <f>IF(OR(ISERROR(E11),ISNUMBER(SEARCH("Field Not Applicable",E11&amp;"")),ISNUMBER(SEARCH("Invalid Field",E11&amp;""))),"ERROR",IF(E11="","MISSING","RETURNED"))</f>
        <v/>
      </c>
      <c r="G11" s="11" t="inlineStr">
        <is>
          <t>Confirm in FLDS</t>
        </is>
      </c>
      <c r="H11" s="2" t="n"/>
    </row>
    <row r="12">
      <c r="A12" s="2" t="inlineStr">
        <is>
          <t>static_fields</t>
        </is>
      </c>
      <c r="B12" s="2" t="inlineStr">
        <is>
          <t>MTG_WAC</t>
        </is>
      </c>
      <c r="C12" s="2" t="inlineStr">
        <is>
          <t>Weighted-average note rate</t>
        </is>
      </c>
      <c r="D12" s="2" t="inlineStr">
        <is>
          <t>NO</t>
        </is>
      </c>
      <c r="E12" s="9">
        <f>BDP(Inputs!$E$5,"MTG_WAC")</f>
        <v/>
      </c>
      <c r="F12" s="10">
        <f>IF(OR(ISERROR(E12),ISNUMBER(SEARCH("Field Not Applicable",E12&amp;"")),ISNUMBER(SEARCH("Invalid Field",E12&amp;""))),"NOT APPLICABLE",IF(LEFT(E12&amp;"",1)="#","ERROR",IF(E12="","MISSING","RETURNED")))</f>
        <v/>
      </c>
      <c r="G12" s="11" t="inlineStr">
        <is>
          <t>Confirm in FLDS</t>
        </is>
      </c>
      <c r="H12" s="2" t="n"/>
    </row>
    <row r="13">
      <c r="A13" s="2" t="inlineStr">
        <is>
          <t>static_fields</t>
        </is>
      </c>
      <c r="B13" s="2" t="inlineStr">
        <is>
          <t>MTG_WAM</t>
        </is>
      </c>
      <c r="C13" s="2" t="inlineStr">
        <is>
          <t>Weighted-average remaining maturity</t>
        </is>
      </c>
      <c r="D13" s="2" t="inlineStr">
        <is>
          <t>NO</t>
        </is>
      </c>
      <c r="E13" s="9">
        <f>BDP(Inputs!$E$5,"MTG_WAM")</f>
        <v/>
      </c>
      <c r="F13" s="10">
        <f>IF(OR(ISERROR(E13),ISNUMBER(SEARCH("Field Not Applicable",E13&amp;"")),ISNUMBER(SEARCH("Invalid Field",E13&amp;""))),"NOT APPLICABLE",IF(LEFT(E13&amp;"",1)="#","ERROR",IF(E13="","MISSING","RETURNED")))</f>
        <v/>
      </c>
      <c r="G13" s="11" t="inlineStr">
        <is>
          <t>Confirm in FLDS</t>
        </is>
      </c>
      <c r="H13" s="2" t="n"/>
    </row>
    <row r="14">
      <c r="A14" s="2" t="inlineStr">
        <is>
          <t>static_fields</t>
        </is>
      </c>
      <c r="B14" s="2" t="inlineStr">
        <is>
          <t>AMT_OUTSTANDING</t>
        </is>
      </c>
      <c r="C14" s="2" t="inlineStr">
        <is>
          <t>Current amount outstanding</t>
        </is>
      </c>
      <c r="D14" s="2" t="inlineStr">
        <is>
          <t>NO</t>
        </is>
      </c>
      <c r="E14" s="9">
        <f>BDP(Inputs!$E$5,"AMT_OUTSTANDING")</f>
        <v/>
      </c>
      <c r="F14" s="10">
        <f>IF(OR(ISERROR(E14),ISNUMBER(SEARCH("Field Not Applicable",E14&amp;"")),ISNUMBER(SEARCH("Invalid Field",E14&amp;""))),"NOT APPLICABLE",IF(LEFT(E14&amp;"",1)="#","ERROR",IF(E14="","MISSING","RETURNED")))</f>
        <v/>
      </c>
      <c r="G14" s="11" t="inlineStr">
        <is>
          <t>Confirm in FLDS</t>
        </is>
      </c>
      <c r="H14" s="2" t="n"/>
    </row>
    <row r="15">
      <c r="A15" s="2" t="inlineStr">
        <is>
          <t>historical_fields</t>
        </is>
      </c>
      <c r="B15" s="2" t="inlineStr">
        <is>
          <t>BVAL_MID_PRICE</t>
        </is>
      </c>
      <c r="C15" s="2" t="inlineStr">
        <is>
          <t>BVAL evaluated mid</t>
        </is>
      </c>
      <c r="D15" s="2" t="inlineStr">
        <is>
          <t>NO</t>
        </is>
      </c>
      <c r="E15" s="10">
        <f>IF(ISNUMBER(Price_History!B6),Price_History!B6,Price_History!A6)</f>
        <v/>
      </c>
      <c r="F15" s="10">
        <f>IF(OR(ISERROR(Price_History!A6),ISNUMBER(SEARCH("Field Not Applicable",Price_History!A6&amp;"")),ISNUMBER(SEARCH("Invalid Field",Price_History!A6&amp;""))),"NOT APPLICABLE",IF(LEFT(Price_History!A6&amp;"",1)="#","ERROR",IF(ISNUMBER(Price_History!B6),"RETURNED","MISSING")))</f>
        <v/>
      </c>
      <c r="G15" s="11" t="inlineStr">
        <is>
          <t>Confirm in FLDS</t>
        </is>
      </c>
      <c r="H15" s="2" t="n"/>
    </row>
    <row r="16">
      <c r="A16" s="2" t="inlineStr">
        <is>
          <t>historical_fields</t>
        </is>
      </c>
      <c r="B16" s="2" t="inlineStr">
        <is>
          <t>PX_BID</t>
        </is>
      </c>
      <c r="C16" s="2" t="inlineStr">
        <is>
          <t>Bid price</t>
        </is>
      </c>
      <c r="D16" s="2" t="inlineStr">
        <is>
          <t>NO</t>
        </is>
      </c>
      <c r="E16" s="10">
        <f>IF(ISNUMBER(Price_History!E6),Price_History!E6,Price_History!D6)</f>
        <v/>
      </c>
      <c r="F16" s="10">
        <f>IF(OR(ISERROR(Price_History!D6),ISNUMBER(SEARCH("Field Not Applicable",Price_History!D6&amp;"")),ISNUMBER(SEARCH("Invalid Field",Price_History!D6&amp;""))),"NOT APPLICABLE",IF(LEFT(Price_History!D6&amp;"",1)="#","ERROR",IF(ISNUMBER(Price_History!E6),"RETURNED","MISSING")))</f>
        <v/>
      </c>
      <c r="G16" s="11" t="inlineStr">
        <is>
          <t>Confirm in FLDS</t>
        </is>
      </c>
      <c r="H16" s="2" t="n"/>
    </row>
    <row r="17">
      <c r="A17" s="2" t="inlineStr">
        <is>
          <t>historical_fields</t>
        </is>
      </c>
      <c r="B17" s="2" t="inlineStr">
        <is>
          <t>PX_ASK</t>
        </is>
      </c>
      <c r="C17" s="2" t="inlineStr">
        <is>
          <t>Ask price</t>
        </is>
      </c>
      <c r="D17" s="2" t="inlineStr">
        <is>
          <t>NO</t>
        </is>
      </c>
      <c r="E17" s="10">
        <f>IF(ISNUMBER(Price_History!H6),Price_History!H6,Price_History!G6)</f>
        <v/>
      </c>
      <c r="F17" s="10">
        <f>IF(OR(ISERROR(Price_History!G6),ISNUMBER(SEARCH("Field Not Applicable",Price_History!G6&amp;"")),ISNUMBER(SEARCH("Invalid Field",Price_History!G6&amp;""))),"NOT APPLICABLE",IF(LEFT(Price_History!G6&amp;"",1)="#","ERROR",IF(ISNUMBER(Price_History!H6),"RETURNED","MISSING")))</f>
        <v/>
      </c>
      <c r="G17" s="11" t="inlineStr">
        <is>
          <t>Confirm in FLDS</t>
        </is>
      </c>
      <c r="H17" s="2" t="n"/>
    </row>
    <row r="18">
      <c r="A18" s="2" t="inlineStr">
        <is>
          <t>historical_fields</t>
        </is>
      </c>
      <c r="B18" s="2" t="inlineStr">
        <is>
          <t>PX_LAST</t>
        </is>
      </c>
      <c r="C18" s="2" t="inlineStr">
        <is>
          <t>Last price</t>
        </is>
      </c>
      <c r="D18" s="2" t="inlineStr">
        <is>
          <t>NO</t>
        </is>
      </c>
      <c r="E18" s="10">
        <f>IF(ISNUMBER(Price_History!K6),Price_History!K6,Price_History!J6)</f>
        <v/>
      </c>
      <c r="F18" s="10">
        <f>IF(OR(ISERROR(Price_History!J6),ISNUMBER(SEARCH("Field Not Applicable",Price_History!J6&amp;"")),ISNUMBER(SEARCH("Invalid Field",Price_History!J6&amp;""))),"NOT APPLICABLE",IF(LEFT(Price_History!J6&amp;"",1)="#","ERROR",IF(ISNUMBER(Price_History!K6),"RETURNED","MISSING")))</f>
        <v/>
      </c>
      <c r="G18" s="11" t="inlineStr">
        <is>
          <t>Confirm in FLDS</t>
        </is>
      </c>
      <c r="H18" s="2" t="n"/>
    </row>
    <row r="19">
      <c r="A19" s="2" t="inlineStr">
        <is>
          <t>historical_fields</t>
        </is>
      </c>
      <c r="B19" s="2" t="inlineStr">
        <is>
          <t>OAS_SPREAD_MID</t>
        </is>
      </c>
      <c r="C19" s="2" t="inlineStr">
        <is>
          <t>Bloomberg mid OAS</t>
        </is>
      </c>
      <c r="D19" s="2" t="inlineStr">
        <is>
          <t>NO</t>
        </is>
      </c>
      <c r="E19" s="10">
        <f>IF(ISNUMBER(Price_History!N6),Price_History!N6,Price_History!M6)</f>
        <v/>
      </c>
      <c r="F19" s="10">
        <f>IF(OR(ISERROR(Price_History!M6),ISNUMBER(SEARCH("Field Not Applicable",Price_History!M6&amp;"")),ISNUMBER(SEARCH("Invalid Field",Price_History!M6&amp;""))),"NOT APPLICABLE",IF(LEFT(Price_History!M6&amp;"",1)="#","ERROR",IF(ISNUMBER(Price_History!N6),"RETURNED","MISSING")))</f>
        <v/>
      </c>
      <c r="G19" s="11" t="inlineStr">
        <is>
          <t>Confirm in FLDS</t>
        </is>
      </c>
      <c r="H19" s="2" t="n"/>
    </row>
    <row r="20">
      <c r="A20" s="2" t="inlineStr">
        <is>
          <t>historical_fields</t>
        </is>
      </c>
      <c r="B20" s="2" t="inlineStr">
        <is>
          <t>Z_SPRD_MID</t>
        </is>
      </c>
      <c r="C20" s="2" t="inlineStr">
        <is>
          <t>Bloomberg mid Z-spread</t>
        </is>
      </c>
      <c r="D20" s="2" t="inlineStr">
        <is>
          <t>NO</t>
        </is>
      </c>
      <c r="E20" s="10">
        <f>IF(ISNUMBER(Price_History!Q6),Price_History!Q6,Price_History!P6)</f>
        <v/>
      </c>
      <c r="F20" s="10">
        <f>IF(OR(ISERROR(Price_History!P6),ISNUMBER(SEARCH("Field Not Applicable",Price_History!P6&amp;"")),ISNUMBER(SEARCH("Invalid Field",Price_History!P6&amp;""))),"NOT APPLICABLE",IF(LEFT(Price_History!P6&amp;"",1)="#","ERROR",IF(ISNUMBER(Price_History!Q6),"RETURNED","MISSING")))</f>
        <v/>
      </c>
      <c r="G20" s="11" t="inlineStr">
        <is>
          <t>Confirm in FLDS</t>
        </is>
      </c>
      <c r="H20" s="2" t="n"/>
    </row>
    <row r="21">
      <c r="A21" s="2" t="inlineStr">
        <is>
          <t>bulk_fields</t>
        </is>
      </c>
      <c r="B21" s="2" t="inlineStr">
        <is>
          <t>MTG_HIST_FACT</t>
        </is>
      </c>
      <c r="C21" s="2" t="inlineStr">
        <is>
          <t>Historical pool factors</t>
        </is>
      </c>
      <c r="D21" s="2" t="inlineStr">
        <is>
          <t>YES</t>
        </is>
      </c>
      <c r="E21" s="10">
        <f>IF(ISNUMBER(Factor_History!B5),Factor_History!B5,Factor_History!A5)</f>
        <v/>
      </c>
      <c r="F21" s="10">
        <f>IF(OR(ISERROR(Factor_History!A5),ISNUMBER(SEARCH("Field Not Applicable",Factor_History!A5&amp;"")),ISNUMBER(SEARCH("Invalid Field",Factor_History!A5&amp;""))),"ERROR",IF(ISNUMBER(Factor_History!B5),"RETURNED","MISSING"))</f>
        <v/>
      </c>
      <c r="G21" s="11" t="inlineStr">
        <is>
          <t>Confirm in FLDS</t>
        </is>
      </c>
      <c r="H21" s="2" t="n"/>
    </row>
  </sheetData>
  <mergeCells count="2">
    <mergeCell ref="A2:H2"/>
    <mergeCell ref="A1:H1"/>
  </mergeCells>
  <conditionalFormatting sqref="F5:F22">
    <cfRule type="expression" priority="1" dxfId="0">
      <formula>F5="ERROR"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4" customHeight="1">
      <c r="A1" s="1" t="inlineStr">
        <is>
          <t>Static security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4" customHeight="1">
      <c r="A2" s="3" t="inlineStr">
        <is>
          <t>Bloomberg BDP values; issuer disclosure remains authoritative.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Role</t>
        </is>
      </c>
      <c r="B4" s="4" t="inlineStr">
        <is>
          <t>Bloomberg Security</t>
        </is>
      </c>
      <c r="C4" s="4" t="inlineStr">
        <is>
          <t>ID_CUSIP</t>
        </is>
      </c>
      <c r="D4" s="4" t="inlineStr">
        <is>
          <t>NAME</t>
        </is>
      </c>
      <c r="E4" s="4" t="inlineStr">
        <is>
          <t>CPN</t>
        </is>
      </c>
      <c r="F4" s="4" t="inlineStr">
        <is>
          <t>ISSUE_DT</t>
        </is>
      </c>
      <c r="G4" s="4" t="inlineStr">
        <is>
          <t>MATURITY</t>
        </is>
      </c>
      <c r="H4" s="4" t="inlineStr">
        <is>
          <t>MTG_FACTOR</t>
        </is>
      </c>
      <c r="I4" s="4" t="inlineStr">
        <is>
          <t>MTG_FACTOR_DT</t>
        </is>
      </c>
      <c r="J4" s="4" t="inlineStr">
        <is>
          <t>MTG_WAC</t>
        </is>
      </c>
      <c r="K4" s="4" t="inlineStr">
        <is>
          <t>MTG_WAM</t>
        </is>
      </c>
      <c r="L4" s="4" t="inlineStr">
        <is>
          <t>AMT_OUTSTANDING</t>
        </is>
      </c>
    </row>
    <row r="5">
      <c r="A5" s="2" t="inlineStr">
        <is>
          <t>primary</t>
        </is>
      </c>
      <c r="B5" s="2" t="inlineStr">
        <is>
          <t>3140QVLM4 Mtge</t>
        </is>
      </c>
      <c r="C5" s="9">
        <f>BDP($B5,"ID_CUSIP")</f>
        <v/>
      </c>
      <c r="D5" s="9">
        <f>BDP($B5,"NAME")</f>
        <v/>
      </c>
      <c r="E5" s="9">
        <f>BDP($B5,"CPN")</f>
        <v/>
      </c>
      <c r="F5" s="9">
        <f>BDP($B5,"ISSUE_DT")</f>
        <v/>
      </c>
      <c r="G5" s="9">
        <f>BDP($B5,"MATURITY")</f>
        <v/>
      </c>
      <c r="H5" s="9">
        <f>BDP($B5,"MTG_FACTOR")</f>
        <v/>
      </c>
      <c r="I5" s="9">
        <f>BDP($B5,"MTG_FACTOR_DT")</f>
        <v/>
      </c>
      <c r="J5" s="9">
        <f>BDP($B5,"MTG_WAC")</f>
        <v/>
      </c>
      <c r="K5" s="9">
        <f>BDP($B5,"MTG_WAM")</f>
        <v/>
      </c>
      <c r="L5" s="9">
        <f>BDP($B5,"AMT_OUTSTANDING")</f>
        <v/>
      </c>
    </row>
    <row r="6">
      <c r="A6" s="2" t="inlineStr">
        <is>
          <t>holdout</t>
        </is>
      </c>
      <c r="B6" s="2" t="inlineStr">
        <is>
          <t>3140QVWQ3 Mtge</t>
        </is>
      </c>
      <c r="C6" s="9">
        <f>BDP($B6,"ID_CUSIP")</f>
        <v/>
      </c>
      <c r="D6" s="9">
        <f>BDP($B6,"NAME")</f>
        <v/>
      </c>
      <c r="E6" s="9">
        <f>BDP($B6,"CPN")</f>
        <v/>
      </c>
      <c r="F6" s="9">
        <f>BDP($B6,"ISSUE_DT")</f>
        <v/>
      </c>
      <c r="G6" s="9">
        <f>BDP($B6,"MATURITY")</f>
        <v/>
      </c>
      <c r="H6" s="9">
        <f>BDP($B6,"MTG_FACTOR")</f>
        <v/>
      </c>
      <c r="I6" s="9">
        <f>BDP($B6,"MTG_FACTOR_DT")</f>
        <v/>
      </c>
      <c r="J6" s="9">
        <f>BDP($B6,"MTG_WAC")</f>
        <v/>
      </c>
      <c r="K6" s="9">
        <f>BDP($B6,"MTG_WAM")</f>
        <v/>
      </c>
      <c r="L6" s="9">
        <f>BDP($B6,"AMT_OUTSTANDING")</f>
        <v/>
      </c>
    </row>
    <row r="7">
      <c r="A7" s="2" t="inlineStr">
        <is>
          <t>holdout</t>
        </is>
      </c>
      <c r="B7" s="2" t="inlineStr">
        <is>
          <t>3140AHRE4 Mtge</t>
        </is>
      </c>
      <c r="C7" s="9">
        <f>BDP($B7,"ID_CUSIP")</f>
        <v/>
      </c>
      <c r="D7" s="9">
        <f>BDP($B7,"NAME")</f>
        <v/>
      </c>
      <c r="E7" s="9">
        <f>BDP($B7,"CPN")</f>
        <v/>
      </c>
      <c r="F7" s="9">
        <f>BDP($B7,"ISSUE_DT")</f>
        <v/>
      </c>
      <c r="G7" s="9">
        <f>BDP($B7,"MATURITY")</f>
        <v/>
      </c>
      <c r="H7" s="9">
        <f>BDP($B7,"MTG_FACTOR")</f>
        <v/>
      </c>
      <c r="I7" s="9">
        <f>BDP($B7,"MTG_FACTOR_DT")</f>
        <v/>
      </c>
      <c r="J7" s="9">
        <f>BDP($B7,"MTG_WAC")</f>
        <v/>
      </c>
      <c r="K7" s="9">
        <f>BDP($B7,"MTG_WAM")</f>
        <v/>
      </c>
      <c r="L7" s="9">
        <f>BDP($B7,"AMT_OUTSTANDING")</f>
        <v/>
      </c>
    </row>
  </sheetData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22" customWidth="1" min="4" max="4"/>
    <col width="22" customWidth="1" min="5" max="5"/>
    <col width="3" customWidth="1" min="6" max="6"/>
    <col width="22" customWidth="1" min="7" max="7"/>
    <col width="22" customWidth="1" min="8" max="8"/>
    <col width="3" customWidth="1" min="9" max="9"/>
    <col width="22" customWidth="1" min="10" max="10"/>
    <col width="22" customWidth="1" min="11" max="11"/>
    <col width="3" customWidth="1" min="12" max="12"/>
    <col width="22" customWidth="1" min="13" max="13"/>
    <col width="22" customWidth="1" min="14" max="14"/>
    <col width="3" customWidth="1" min="15" max="15"/>
    <col width="22" customWidth="1" min="16" max="16"/>
    <col width="22" customWidth="1" min="17" max="17"/>
    <col width="3" customWidth="1" min="18" max="18"/>
  </cols>
  <sheetData>
    <row r="1" ht="24" customHeight="1">
      <c r="A1" s="1" t="inlineStr">
        <is>
          <t>Historical market observations</t>
        </is>
      </c>
    </row>
    <row r="2" ht="34" customHeight="1">
      <c r="A2" s="3" t="inlineStr">
        <is>
          <t>Each block spills two columns: date and value. BVAL is evaluated; bid/ask are preferred where populated.</t>
        </is>
      </c>
    </row>
    <row r="4">
      <c r="A4" s="12" t="inlineStr">
        <is>
          <t>PRIMARY</t>
        </is>
      </c>
      <c r="B4" s="12" t="inlineStr">
        <is>
          <t>3140QVLM4</t>
        </is>
      </c>
      <c r="C4" s="12" t="inlineStr">
        <is>
          <t>3140QVLM4 Mtge</t>
        </is>
      </c>
    </row>
    <row r="5">
      <c r="A5" s="13" t="inlineStr">
        <is>
          <t>BVAL_MID_PRICE</t>
        </is>
      </c>
      <c r="B5" s="13" t="inlineStr">
        <is>
          <t>evaluated</t>
        </is>
      </c>
      <c r="D5" s="13" t="inlineStr">
        <is>
          <t>PX_BID</t>
        </is>
      </c>
      <c r="E5" s="13" t="inlineStr">
        <is>
          <t>quote</t>
        </is>
      </c>
      <c r="G5" s="13" t="inlineStr">
        <is>
          <t>PX_ASK</t>
        </is>
      </c>
      <c r="H5" s="13" t="inlineStr">
        <is>
          <t>quote</t>
        </is>
      </c>
      <c r="J5" s="13" t="inlineStr">
        <is>
          <t>PX_LAST</t>
        </is>
      </c>
      <c r="K5" s="13" t="inlineStr">
        <is>
          <t>diagnostic</t>
        </is>
      </c>
      <c r="M5" s="13" t="inlineStr">
        <is>
          <t>OAS_SPREAD_MID</t>
        </is>
      </c>
      <c r="N5" s="13" t="inlineStr">
        <is>
          <t>external_model</t>
        </is>
      </c>
      <c r="P5" s="13" t="inlineStr">
        <is>
          <t>Z_SPRD_MID</t>
        </is>
      </c>
      <c r="Q5" s="13" t="inlineStr">
        <is>
          <t>external_model</t>
        </is>
      </c>
    </row>
    <row r="6">
      <c r="A6" s="14">
        <f>BDH(Inputs!$E$5,"BVAL_MID_PRICE",Inputs!$F$5,Inputs!$G$5,"Per="&amp;Inputs!$H$5,"Dir=V","Dts=S","Sort=D")</f>
        <v/>
      </c>
      <c r="D6" s="14">
        <f>BDH(Inputs!$E$5,"PX_BID",Inputs!$F$5,Inputs!$G$5,"Per="&amp;Inputs!$H$5,"Dir=V","Dts=S","Sort=D")</f>
        <v/>
      </c>
      <c r="G6" s="14">
        <f>BDH(Inputs!$E$5,"PX_ASK",Inputs!$F$5,Inputs!$G$5,"Per="&amp;Inputs!$H$5,"Dir=V","Dts=S","Sort=D")</f>
        <v/>
      </c>
      <c r="J6" s="14">
        <f>BDH(Inputs!$E$5,"PX_LAST",Inputs!$F$5,Inputs!$G$5,"Per="&amp;Inputs!$H$5,"Dir=V","Dts=S","Sort=D")</f>
        <v/>
      </c>
      <c r="M6" s="14">
        <f>BDH(Inputs!$E$5,"OAS_SPREAD_MID",Inputs!$F$5,Inputs!$G$5,"Per="&amp;Inputs!$H$5,"Dir=V","Dts=S","Sort=D")</f>
        <v/>
      </c>
      <c r="P6" s="14">
        <f>BDH(Inputs!$E$5,"Z_SPRD_MID",Inputs!$F$5,Inputs!$G$5,"Per="&amp;Inputs!$H$5,"Dir=V","Dts=S","Sort=D")</f>
        <v/>
      </c>
    </row>
    <row r="1604">
      <c r="A1604" s="12" t="inlineStr">
        <is>
          <t>HOLDOUT</t>
        </is>
      </c>
      <c r="B1604" s="12" t="inlineStr">
        <is>
          <t>3140QVWQ3</t>
        </is>
      </c>
      <c r="C1604" s="12" t="inlineStr">
        <is>
          <t>3140QVWQ3 Mtge</t>
        </is>
      </c>
    </row>
    <row r="1605">
      <c r="A1605" s="13" t="inlineStr">
        <is>
          <t>BVAL_MID_PRICE</t>
        </is>
      </c>
      <c r="B1605" s="13" t="inlineStr">
        <is>
          <t>evaluated</t>
        </is>
      </c>
      <c r="D1605" s="13" t="inlineStr">
        <is>
          <t>PX_BID</t>
        </is>
      </c>
      <c r="E1605" s="13" t="inlineStr">
        <is>
          <t>quote</t>
        </is>
      </c>
      <c r="G1605" s="13" t="inlineStr">
        <is>
          <t>PX_ASK</t>
        </is>
      </c>
      <c r="H1605" s="13" t="inlineStr">
        <is>
          <t>quote</t>
        </is>
      </c>
      <c r="J1605" s="13" t="inlineStr">
        <is>
          <t>PX_LAST</t>
        </is>
      </c>
      <c r="K1605" s="13" t="inlineStr">
        <is>
          <t>diagnostic</t>
        </is>
      </c>
      <c r="M1605" s="13" t="inlineStr">
        <is>
          <t>OAS_SPREAD_MID</t>
        </is>
      </c>
      <c r="N1605" s="13" t="inlineStr">
        <is>
          <t>external_model</t>
        </is>
      </c>
      <c r="P1605" s="13" t="inlineStr">
        <is>
          <t>Z_SPRD_MID</t>
        </is>
      </c>
      <c r="Q1605" s="13" t="inlineStr">
        <is>
          <t>external_model</t>
        </is>
      </c>
    </row>
    <row r="1606">
      <c r="A1606" s="14">
        <f>BDH(Inputs!$E$6,"BVAL_MID_PRICE",Inputs!$F$6,Inputs!$G$6,"Per="&amp;Inputs!$H$6,"Dir=V","Dts=S","Sort=D")</f>
        <v/>
      </c>
      <c r="D1606" s="14">
        <f>BDH(Inputs!$E$6,"PX_BID",Inputs!$F$6,Inputs!$G$6,"Per="&amp;Inputs!$H$6,"Dir=V","Dts=S","Sort=D")</f>
        <v/>
      </c>
      <c r="G1606" s="14">
        <f>BDH(Inputs!$E$6,"PX_ASK",Inputs!$F$6,Inputs!$G$6,"Per="&amp;Inputs!$H$6,"Dir=V","Dts=S","Sort=D")</f>
        <v/>
      </c>
      <c r="J1606" s="14">
        <f>BDH(Inputs!$E$6,"PX_LAST",Inputs!$F$6,Inputs!$G$6,"Per="&amp;Inputs!$H$6,"Dir=V","Dts=S","Sort=D")</f>
        <v/>
      </c>
      <c r="M1606" s="14">
        <f>BDH(Inputs!$E$6,"OAS_SPREAD_MID",Inputs!$F$6,Inputs!$G$6,"Per="&amp;Inputs!$H$6,"Dir=V","Dts=S","Sort=D")</f>
        <v/>
      </c>
      <c r="P1606" s="14">
        <f>BDH(Inputs!$E$6,"Z_SPRD_MID",Inputs!$F$6,Inputs!$G$6,"Per="&amp;Inputs!$H$6,"Dir=V","Dts=S","Sort=D")</f>
        <v/>
      </c>
    </row>
    <row r="3204">
      <c r="A3204" s="12" t="inlineStr">
        <is>
          <t>HOLDOUT</t>
        </is>
      </c>
      <c r="B3204" s="12" t="inlineStr">
        <is>
          <t>3140AHRE4</t>
        </is>
      </c>
      <c r="C3204" s="12" t="inlineStr">
        <is>
          <t>3140AHRE4 Mtge</t>
        </is>
      </c>
    </row>
    <row r="3205">
      <c r="A3205" s="13" t="inlineStr">
        <is>
          <t>BVAL_MID_PRICE</t>
        </is>
      </c>
      <c r="B3205" s="13" t="inlineStr">
        <is>
          <t>evaluated</t>
        </is>
      </c>
      <c r="D3205" s="13" t="inlineStr">
        <is>
          <t>PX_BID</t>
        </is>
      </c>
      <c r="E3205" s="13" t="inlineStr">
        <is>
          <t>quote</t>
        </is>
      </c>
      <c r="G3205" s="13" t="inlineStr">
        <is>
          <t>PX_ASK</t>
        </is>
      </c>
      <c r="H3205" s="13" t="inlineStr">
        <is>
          <t>quote</t>
        </is>
      </c>
      <c r="J3205" s="13" t="inlineStr">
        <is>
          <t>PX_LAST</t>
        </is>
      </c>
      <c r="K3205" s="13" t="inlineStr">
        <is>
          <t>diagnostic</t>
        </is>
      </c>
      <c r="M3205" s="13" t="inlineStr">
        <is>
          <t>OAS_SPREAD_MID</t>
        </is>
      </c>
      <c r="N3205" s="13" t="inlineStr">
        <is>
          <t>external_model</t>
        </is>
      </c>
      <c r="P3205" s="13" t="inlineStr">
        <is>
          <t>Z_SPRD_MID</t>
        </is>
      </c>
      <c r="Q3205" s="13" t="inlineStr">
        <is>
          <t>external_model</t>
        </is>
      </c>
    </row>
    <row r="3206">
      <c r="A3206" s="14">
        <f>BDH(Inputs!$E$7,"BVAL_MID_PRICE",Inputs!$F$7,Inputs!$G$7,"Per="&amp;Inputs!$H$7,"Dir=V","Dts=S","Sort=D")</f>
        <v/>
      </c>
      <c r="D3206" s="14">
        <f>BDH(Inputs!$E$7,"PX_BID",Inputs!$F$7,Inputs!$G$7,"Per="&amp;Inputs!$H$7,"Dir=V","Dts=S","Sort=D")</f>
        <v/>
      </c>
      <c r="G3206" s="14">
        <f>BDH(Inputs!$E$7,"PX_ASK",Inputs!$F$7,Inputs!$G$7,"Per="&amp;Inputs!$H$7,"Dir=V","Dts=S","Sort=D")</f>
        <v/>
      </c>
      <c r="J3206" s="14">
        <f>BDH(Inputs!$E$7,"PX_LAST",Inputs!$F$7,Inputs!$G$7,"Per="&amp;Inputs!$H$7,"Dir=V","Dts=S","Sort=D")</f>
        <v/>
      </c>
      <c r="M3206" s="14">
        <f>BDH(Inputs!$E$7,"OAS_SPREAD_MID",Inputs!$F$7,Inputs!$G$7,"Per="&amp;Inputs!$H$7,"Dir=V","Dts=S","Sort=D")</f>
        <v/>
      </c>
      <c r="P3206" s="14">
        <f>BDH(Inputs!$E$7,"Z_SPRD_MID",Inputs!$F$7,Inputs!$G$7,"Per="&amp;Inputs!$H$7,"Dir=V","Dts=S","Sort=D")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5" max="5"/>
    <col width="18" customWidth="1" min="6" max="6"/>
    <col width="20" customWidth="1" min="9" max="9"/>
    <col width="18" customWidth="1" min="10" max="10"/>
  </cols>
  <sheetData>
    <row r="1" ht="24" customHeight="1">
      <c r="A1" s="1" t="inlineStr">
        <is>
          <t>Historical pool factors</t>
        </is>
      </c>
    </row>
    <row r="2" ht="34" customHeight="1">
      <c r="A2" s="3" t="inlineStr">
        <is>
          <t>Bloomberg BDS MTG_HIST_FACT; reconcile every date to issuer factors.</t>
        </is>
      </c>
    </row>
    <row r="4">
      <c r="A4" s="4" t="inlineStr">
        <is>
          <t>PRIMARY</t>
        </is>
      </c>
      <c r="B4" s="4" t="inlineStr">
        <is>
          <t>3140QVLM4</t>
        </is>
      </c>
      <c r="E4" s="4" t="inlineStr">
        <is>
          <t>HOLDOUT</t>
        </is>
      </c>
      <c r="F4" s="4" t="inlineStr">
        <is>
          <t>3140QVWQ3</t>
        </is>
      </c>
      <c r="I4" s="4" t="inlineStr">
        <is>
          <t>HOLDOUT</t>
        </is>
      </c>
      <c r="J4" s="4" t="inlineStr">
        <is>
          <t>3140AHRE4</t>
        </is>
      </c>
    </row>
    <row r="5">
      <c r="A5" s="9">
        <f>BDS(Inputs!$E$5,"MTG_HIST_FACT")</f>
        <v/>
      </c>
      <c r="E5" s="9">
        <f>BDS(Inputs!$E$6,"MTG_HIST_FACT")</f>
        <v/>
      </c>
      <c r="I5" s="9">
        <f>BDS(Inputs!$E$7,"MTG_HIST_FACT")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4" customWidth="1" min="4" max="4"/>
    <col width="24" customWidth="1" min="5" max="5"/>
    <col width="14" customWidth="1" min="6" max="6"/>
  </cols>
  <sheetData>
    <row r="1" ht="24" customHeight="1">
      <c r="A1" s="1" t="inlineStr">
        <is>
          <t>Workbook quality controls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These checks are necessary but not sufficient; Python performs issuer reconciliation after import.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Role</t>
        </is>
      </c>
      <c r="B4" s="4" t="inlineStr">
        <is>
          <t>CUSIP</t>
        </is>
      </c>
      <c r="C4" s="4" t="inlineStr">
        <is>
          <t>Check</t>
        </is>
      </c>
      <c r="D4" s="4" t="inlineStr">
        <is>
          <t>Expected</t>
        </is>
      </c>
      <c r="E4" s="4" t="inlineStr">
        <is>
          <t>Observed</t>
        </is>
      </c>
      <c r="F4" s="4" t="inlineStr">
        <is>
          <t>Status</t>
        </is>
      </c>
      <c r="G4" s="4" t="n"/>
      <c r="H4" s="4" t="n"/>
    </row>
    <row r="5">
      <c r="A5" s="2" t="inlineStr">
        <is>
          <t>primary</t>
        </is>
      </c>
      <c r="B5" s="2" t="inlineStr">
        <is>
          <t>3140QVLM4</t>
        </is>
      </c>
      <c r="C5" s="2" t="inlineStr">
        <is>
          <t>CUSIP</t>
        </is>
      </c>
      <c r="D5" s="2" t="inlineStr">
        <is>
          <t>3140QVLM4</t>
        </is>
      </c>
      <c r="E5" s="10">
        <f>Static_Reference!C5</f>
        <v/>
      </c>
      <c r="F5" s="10">
        <f>IF(OR(ISERROR(E5),LEFT(E5&amp;"",1)="#"),"ERROR",IF(E5=D5,"PASS","FAIL"))</f>
        <v/>
      </c>
      <c r="G5" s="2" t="n"/>
      <c r="H5" s="2" t="n"/>
    </row>
    <row r="6">
      <c r="A6" s="2" t="inlineStr">
        <is>
          <t>primary</t>
        </is>
      </c>
      <c r="B6" s="2" t="inlineStr">
        <is>
          <t>3140QVLM4</t>
        </is>
      </c>
      <c r="C6" s="2" t="inlineStr">
        <is>
          <t>Coupon</t>
        </is>
      </c>
      <c r="D6" s="15" t="n">
        <v>5.5</v>
      </c>
      <c r="E6" s="10">
        <f>Static_Reference!E5</f>
        <v/>
      </c>
      <c r="F6" s="10">
        <f>IF(OR(ISERROR(E6),LEFT(E6&amp;"",1)="#"),"ERROR",IF(OR(ABS(E6-D6)&lt;=0.001,ABS(E6*100-D6)&lt;=0.001),"PASS","CHECK"))</f>
        <v/>
      </c>
      <c r="G6" s="2" t="n"/>
      <c r="H6" s="2" t="n"/>
    </row>
    <row r="7">
      <c r="A7" s="2" t="inlineStr">
        <is>
          <t>primary</t>
        </is>
      </c>
      <c r="B7" s="2" t="inlineStr">
        <is>
          <t>3140QVLM4</t>
        </is>
      </c>
      <c r="C7" s="2" t="inlineStr">
        <is>
          <t>Factor</t>
        </is>
      </c>
      <c r="D7" s="16" t="n">
        <v>0.8759439999999999</v>
      </c>
      <c r="E7" s="10">
        <f>Static_Reference!H5</f>
        <v/>
      </c>
      <c r="F7" s="10">
        <f>IF(OR(ISERROR(E7),LEFT(E7&amp;"",1)="#"),"ERROR",IF(ABS(E7-D7)&lt;=0.01,"PASS","CHECK"))</f>
        <v/>
      </c>
      <c r="G7" s="2" t="n"/>
      <c r="H7" s="2" t="n"/>
    </row>
    <row r="8">
      <c r="A8" s="2" t="inlineStr">
        <is>
          <t>primary</t>
        </is>
      </c>
      <c r="B8" s="2" t="inlineStr">
        <is>
          <t>3140QVLM4</t>
        </is>
      </c>
      <c r="C8" s="2" t="inlineStr">
        <is>
          <t>Factor date</t>
        </is>
      </c>
      <c r="D8" s="17" t="n">
        <v>46296</v>
      </c>
      <c r="E8" s="18">
        <f>Factor_History!A5</f>
        <v/>
      </c>
      <c r="F8" s="10">
        <f>IF(OR(ISERROR(E8),LEFT(E8&amp;"",1)="#"),"ERROR",IF(E8="","MISSING",IF(AND(YEAR(E8)=YEAR(D8),MONTH(E8)=MONTH(D8)),"PASS","CHECK")))</f>
        <v/>
      </c>
      <c r="G8" s="2" t="n"/>
      <c r="H8" s="2" t="n"/>
    </row>
    <row r="9">
      <c r="A9" s="2" t="inlineStr">
        <is>
          <t>holdout</t>
        </is>
      </c>
      <c r="B9" s="2" t="inlineStr">
        <is>
          <t>3140QVWQ3</t>
        </is>
      </c>
      <c r="C9" s="2" t="inlineStr">
        <is>
          <t>CUSIP</t>
        </is>
      </c>
      <c r="D9" s="2" t="inlineStr">
        <is>
          <t>3140QVWQ3</t>
        </is>
      </c>
      <c r="E9" s="10">
        <f>Static_Reference!C6</f>
        <v/>
      </c>
      <c r="F9" s="10">
        <f>IF(OR(ISERROR(E9),LEFT(E9&amp;"",1)="#"),"ERROR",IF(E9=D9,"PASS","FAIL"))</f>
        <v/>
      </c>
      <c r="G9" s="2" t="n"/>
      <c r="H9" s="2" t="n"/>
    </row>
    <row r="10">
      <c r="A10" s="2" t="inlineStr">
        <is>
          <t>holdout</t>
        </is>
      </c>
      <c r="B10" s="2" t="inlineStr">
        <is>
          <t>3140QVWQ3</t>
        </is>
      </c>
      <c r="C10" s="2" t="inlineStr">
        <is>
          <t>Coupon</t>
        </is>
      </c>
      <c r="D10" s="15" t="n">
        <v>5</v>
      </c>
      <c r="E10" s="10">
        <f>Static_Reference!E6</f>
        <v/>
      </c>
      <c r="F10" s="10">
        <f>IF(OR(ISERROR(E10),LEFT(E10&amp;"",1)="#"),"ERROR",IF(OR(ABS(E10-D10)&lt;=0.001,ABS(E10*100-D10)&lt;=0.001),"PASS","CHECK"))</f>
        <v/>
      </c>
      <c r="G10" s="2" t="n"/>
      <c r="H10" s="2" t="n"/>
    </row>
    <row r="11">
      <c r="A11" s="2" t="inlineStr">
        <is>
          <t>holdout</t>
        </is>
      </c>
      <c r="B11" s="2" t="inlineStr">
        <is>
          <t>3140QVWQ3</t>
        </is>
      </c>
      <c r="C11" s="2" t="inlineStr">
        <is>
          <t>Factor</t>
        </is>
      </c>
      <c r="D11" s="16" t="n">
        <v>0.902649</v>
      </c>
      <c r="E11" s="10">
        <f>Static_Reference!H6</f>
        <v/>
      </c>
      <c r="F11" s="10">
        <f>IF(OR(ISERROR(E11),LEFT(E11&amp;"",1)="#"),"ERROR",IF(ABS(E11-D11)&lt;=0.01,"PASS","CHECK"))</f>
        <v/>
      </c>
      <c r="G11" s="2" t="n"/>
      <c r="H11" s="2" t="n"/>
    </row>
    <row r="12">
      <c r="A12" s="2" t="inlineStr">
        <is>
          <t>holdout</t>
        </is>
      </c>
      <c r="B12" s="2" t="inlineStr">
        <is>
          <t>3140QVWQ3</t>
        </is>
      </c>
      <c r="C12" s="2" t="inlineStr">
        <is>
          <t>Factor date</t>
        </is>
      </c>
      <c r="D12" s="17" t="n">
        <v>46296</v>
      </c>
      <c r="E12" s="18">
        <f>Factor_History!E5</f>
        <v/>
      </c>
      <c r="F12" s="10">
        <f>IF(OR(ISERROR(E12),LEFT(E12&amp;"",1)="#"),"ERROR",IF(E12="","MISSING",IF(AND(YEAR(E12)=YEAR(D12),MONTH(E12)=MONTH(D12)),"PASS","CHECK")))</f>
        <v/>
      </c>
      <c r="G12" s="2" t="n"/>
      <c r="H12" s="2" t="n"/>
    </row>
    <row r="13">
      <c r="A13" s="2" t="inlineStr">
        <is>
          <t>holdout</t>
        </is>
      </c>
      <c r="B13" s="2" t="inlineStr">
        <is>
          <t>3140AHRE4</t>
        </is>
      </c>
      <c r="C13" s="2" t="inlineStr">
        <is>
          <t>CUSIP</t>
        </is>
      </c>
      <c r="D13" s="2" t="inlineStr">
        <is>
          <t>3140AHRE4</t>
        </is>
      </c>
      <c r="E13" s="10">
        <f>Static_Reference!C7</f>
        <v/>
      </c>
      <c r="F13" s="10">
        <f>IF(OR(ISERROR(E13),LEFT(E13&amp;"",1)="#"),"ERROR",IF(E13=D13,"PASS","FAIL"))</f>
        <v/>
      </c>
      <c r="G13" s="2" t="n"/>
      <c r="H13" s="2" t="n"/>
    </row>
    <row r="14">
      <c r="A14" s="2" t="inlineStr">
        <is>
          <t>holdout</t>
        </is>
      </c>
      <c r="B14" s="2" t="inlineStr">
        <is>
          <t>3140AHRE4</t>
        </is>
      </c>
      <c r="C14" s="2" t="inlineStr">
        <is>
          <t>Coupon</t>
        </is>
      </c>
      <c r="D14" s="15" t="n">
        <v>6</v>
      </c>
      <c r="E14" s="10">
        <f>Static_Reference!E7</f>
        <v/>
      </c>
      <c r="F14" s="10">
        <f>IF(OR(ISERROR(E14),LEFT(E14&amp;"",1)="#"),"ERROR",IF(OR(ABS(E14-D14)&lt;=0.001,ABS(E14*100-D14)&lt;=0.001),"PASS","CHECK"))</f>
        <v/>
      </c>
      <c r="G14" s="2" t="n"/>
      <c r="H14" s="2" t="n"/>
    </row>
    <row r="15">
      <c r="A15" s="2" t="inlineStr">
        <is>
          <t>holdout</t>
        </is>
      </c>
      <c r="B15" s="2" t="inlineStr">
        <is>
          <t>3140AHRE4</t>
        </is>
      </c>
      <c r="C15" s="2" t="inlineStr">
        <is>
          <t>Factor</t>
        </is>
      </c>
      <c r="D15" s="16" t="n">
        <v>0.6180600000000001</v>
      </c>
      <c r="E15" s="10">
        <f>Static_Reference!H7</f>
        <v/>
      </c>
      <c r="F15" s="10">
        <f>IF(OR(ISERROR(E15),LEFT(E15&amp;"",1)="#"),"ERROR",IF(ABS(E15-D15)&lt;=0.01,"PASS","CHECK"))</f>
        <v/>
      </c>
      <c r="G15" s="2" t="n"/>
      <c r="H15" s="2" t="n"/>
    </row>
    <row r="16">
      <c r="A16" s="2" t="inlineStr">
        <is>
          <t>holdout</t>
        </is>
      </c>
      <c r="B16" s="2" t="inlineStr">
        <is>
          <t>3140AHRE4</t>
        </is>
      </c>
      <c r="C16" s="2" t="inlineStr">
        <is>
          <t>Factor date</t>
        </is>
      </c>
      <c r="D16" s="17" t="n">
        <v>46296</v>
      </c>
      <c r="E16" s="18">
        <f>Factor_History!I5</f>
        <v/>
      </c>
      <c r="F16" s="10">
        <f>IF(OR(ISERROR(E16),LEFT(E16&amp;"",1)="#"),"ERROR",IF(E16="","MISSING",IF(AND(YEAR(E16)=YEAR(D16),MONTH(E16)=MONTH(D16)),"PASS","CHECK")))</f>
        <v/>
      </c>
      <c r="G16" s="2" t="n"/>
      <c r="H16" s="2" t="n"/>
    </row>
  </sheetData>
  <mergeCells count="2">
    <mergeCell ref="A2:H2"/>
    <mergeCell ref="A1:H1"/>
  </mergeCells>
  <conditionalFormatting sqref="F5:F17">
    <cfRule type="expression" priority="1" dxfId="0">
      <formula>F5="FAIL"</formula>
    </cfRule>
    <cfRule type="expression" priority="2" dxfId="1">
      <formula>F5="PASS"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24" customWidth="1" min="5" max="5"/>
    <col width="14" customWidth="1" min="6" max="6"/>
    <col width="14" customWidth="1" min="7" max="7"/>
  </cols>
  <sheetData>
    <row r="1" ht="24" customHeight="1">
      <c r="A1" s="1" t="inlineStr">
        <is>
          <t>Python import contract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Do not edit. Python imports static values here and scans Price_History / Factor_History blocks.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role</t>
        </is>
      </c>
      <c r="B4" s="4" t="inlineStr">
        <is>
          <t>agency</t>
        </is>
      </c>
      <c r="C4" s="4" t="inlineStr">
        <is>
          <t>pool_number</t>
        </is>
      </c>
      <c r="D4" s="4" t="inlineStr">
        <is>
          <t>cusip</t>
        </is>
      </c>
      <c r="E4" s="4" t="inlineStr">
        <is>
          <t>bloomberg_security</t>
        </is>
      </c>
      <c r="F4" s="4" t="inlineStr">
        <is>
          <t>start_date</t>
        </is>
      </c>
      <c r="G4" s="4" t="inlineStr">
        <is>
          <t>end_date</t>
        </is>
      </c>
      <c r="H4" s="4" t="n"/>
    </row>
    <row r="5">
      <c r="A5" s="10">
        <f>Inputs!$A$5</f>
        <v/>
      </c>
      <c r="B5" s="10">
        <f>Inputs!$B$5</f>
        <v/>
      </c>
      <c r="C5" s="10">
        <f>Inputs!$C$5</f>
        <v/>
      </c>
      <c r="D5" s="10">
        <f>Inputs!$D$5</f>
        <v/>
      </c>
      <c r="E5" s="10">
        <f>Inputs!$E$5</f>
        <v/>
      </c>
      <c r="F5" s="18">
        <f>Inputs!$F$5</f>
        <v/>
      </c>
      <c r="G5" s="18">
        <f>Inputs!$G$5</f>
        <v/>
      </c>
      <c r="H5" s="2" t="n"/>
    </row>
    <row r="6">
      <c r="A6" s="10">
        <f>Inputs!$A$6</f>
        <v/>
      </c>
      <c r="B6" s="10">
        <f>Inputs!$B$6</f>
        <v/>
      </c>
      <c r="C6" s="10">
        <f>Inputs!$C$6</f>
        <v/>
      </c>
      <c r="D6" s="10">
        <f>Inputs!$D$6</f>
        <v/>
      </c>
      <c r="E6" s="10">
        <f>Inputs!$E$6</f>
        <v/>
      </c>
      <c r="F6" s="18">
        <f>Inputs!$F$6</f>
        <v/>
      </c>
      <c r="G6" s="18">
        <f>Inputs!$G$6</f>
        <v/>
      </c>
      <c r="H6" s="2" t="n"/>
    </row>
    <row r="7">
      <c r="A7" s="10">
        <f>Inputs!$A$7</f>
        <v/>
      </c>
      <c r="B7" s="10">
        <f>Inputs!$B$7</f>
        <v/>
      </c>
      <c r="C7" s="10">
        <f>Inputs!$C$7</f>
        <v/>
      </c>
      <c r="D7" s="10">
        <f>Inputs!$D$7</f>
        <v/>
      </c>
      <c r="E7" s="10">
        <f>Inputs!$E$7</f>
        <v/>
      </c>
      <c r="F7" s="18">
        <f>Inputs!$F$7</f>
        <v/>
      </c>
      <c r="G7" s="18">
        <f>Inputs!$G$7</f>
        <v/>
      </c>
      <c r="H7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2026-10-11T20:17:11Z</dcterms:created>
  <dcterms:modified xmlns:dcterms="http://purl.org/dc/terms/" xmlns:xsi="http://www.w3.org/2001/XMLSchema-instance" xsi:type="dcterms:W3CDTF">2026-10-11T20:17:11Z</dcterms:modified>
</cp:coreProperties>
</file>